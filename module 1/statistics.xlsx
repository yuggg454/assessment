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32180FB-09A5-42FA-9E5A-AE7657847152}" xr6:coauthVersionLast="36" xr6:coauthVersionMax="36" xr10:uidLastSave="{00000000-0000-0000-0000-000000000000}"/>
  <bookViews>
    <workbookView xWindow="0" yWindow="0" windowWidth="20490" windowHeight="7425" activeTab="1" xr2:uid="{00000000-000D-0000-FFFF-FFFF00000000}"/>
  </bookViews>
  <sheets>
    <sheet name="Q1_t_test" sheetId="1" r:id="rId1"/>
    <sheet name="Q2_chi_square" sheetId="2" r:id="rId2"/>
  </sheets>
  <calcPr calcId="191029"/>
</workbook>
</file>

<file path=xl/calcChain.xml><?xml version="1.0" encoding="utf-8"?>
<calcChain xmlns="http://schemas.openxmlformats.org/spreadsheetml/2006/main">
  <c r="B22" i="2" l="1"/>
  <c r="B14" i="1"/>
  <c r="B13" i="1"/>
  <c r="B12" i="1"/>
  <c r="B11" i="1"/>
  <c r="B10" i="1"/>
  <c r="B9" i="1"/>
  <c r="B8" i="1"/>
  <c r="C6" i="2"/>
  <c r="B6" i="2"/>
  <c r="D5" i="2"/>
  <c r="D4" i="2"/>
  <c r="D6" i="2" s="1"/>
  <c r="C12" i="2" s="1"/>
  <c r="C18" i="2" s="1"/>
  <c r="B11" i="2" l="1"/>
  <c r="B17" i="2" s="1"/>
  <c r="C11" i="2"/>
  <c r="C17" i="2" s="1"/>
  <c r="B12" i="2"/>
  <c r="B18" i="2" s="1"/>
  <c r="B20" i="2" s="1"/>
  <c r="B23" i="2" s="1"/>
</calcChain>
</file>

<file path=xl/sharedStrings.xml><?xml version="1.0" encoding="utf-8"?>
<sst xmlns="http://schemas.openxmlformats.org/spreadsheetml/2006/main" count="35" uniqueCount="25">
  <si>
    <t>Two Sample t-Test (Girls vs Boys)</t>
  </si>
  <si>
    <t>Group</t>
  </si>
  <si>
    <t>Mean</t>
  </si>
  <si>
    <t>SD</t>
  </si>
  <si>
    <t>n</t>
  </si>
  <si>
    <t>Girls</t>
  </si>
  <si>
    <t>Boys</t>
  </si>
  <si>
    <t>Pooled Variance (Sp^2)</t>
  </si>
  <si>
    <t>Pooled SD (Sp)</t>
  </si>
  <si>
    <t>Standard Error (SE)</t>
  </si>
  <si>
    <t>t Statistic</t>
  </si>
  <si>
    <t>Degrees of Freedom (df)</t>
  </si>
  <si>
    <t>t Critical (5% two-tailed)</t>
  </si>
  <si>
    <t>Decision</t>
  </si>
  <si>
    <t>Chi-Square Test (Smoking &amp; Cancer)</t>
  </si>
  <si>
    <t>Cancer</t>
  </si>
  <si>
    <t>No Cancer</t>
  </si>
  <si>
    <t>Row Total</t>
  </si>
  <si>
    <t>Smokers</t>
  </si>
  <si>
    <t>Non-Smokers</t>
  </si>
  <si>
    <t>Column Total</t>
  </si>
  <si>
    <t>Expected Frequencies</t>
  </si>
  <si>
    <t>Chi-Square Contributions</t>
  </si>
  <si>
    <t>Chi-square Total</t>
  </si>
  <si>
    <t>Chi-square Critical (5%)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</si>
</sst>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B14" sqref="B14"/>
    </sheetView>
  </sheetViews>
  <sheetFormatPr defaultRowHeight="15" x14ac:dyDescent="0.25"/>
  <cols>
    <col min="1" max="5" width="20" customWidth="1"/>
  </cols>
  <sheetData>
    <row r="1" spans="1:4" ht="18.75" x14ac:dyDescent="0.3">
      <c r="A1" s="5" t="s">
        <v>0</v>
      </c>
      <c r="B1" s="6"/>
      <c r="C1" s="6"/>
      <c r="D1" s="6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2" t="s">
        <v>5</v>
      </c>
      <c r="B4" s="2">
        <v>89</v>
      </c>
      <c r="C4" s="2">
        <v>4</v>
      </c>
      <c r="D4" s="2">
        <v>50</v>
      </c>
    </row>
    <row r="5" spans="1:4" x14ac:dyDescent="0.25">
      <c r="A5" s="2" t="s">
        <v>6</v>
      </c>
      <c r="B5" s="2">
        <v>82</v>
      </c>
      <c r="C5" s="2">
        <v>9</v>
      </c>
      <c r="D5" s="2">
        <v>120</v>
      </c>
    </row>
    <row r="8" spans="1:4" x14ac:dyDescent="0.25">
      <c r="A8" s="3" t="s">
        <v>7</v>
      </c>
      <c r="B8">
        <f>(((D4-1)*C4^2)+((D5-1)*C5^2))/(D4+D5-2)</f>
        <v>62.041666666666664</v>
      </c>
    </row>
    <row r="9" spans="1:4" x14ac:dyDescent="0.25">
      <c r="A9" s="3" t="s">
        <v>8</v>
      </c>
      <c r="B9">
        <f>SQRT(B8)</f>
        <v>7.8766532656113961</v>
      </c>
    </row>
    <row r="10" spans="1:4" x14ac:dyDescent="0.25">
      <c r="A10" s="3" t="s">
        <v>9</v>
      </c>
      <c r="B10">
        <f>B9*SQRT(1/D4+1/D5)</f>
        <v>1.3258383092301347</v>
      </c>
    </row>
    <row r="11" spans="1:4" x14ac:dyDescent="0.25">
      <c r="A11" s="3" t="s">
        <v>10</v>
      </c>
      <c r="B11">
        <f>(B4-B5)/B10</f>
        <v>5.2796784881443362</v>
      </c>
    </row>
    <row r="12" spans="1:4" x14ac:dyDescent="0.25">
      <c r="A12" s="3" t="s">
        <v>11</v>
      </c>
      <c r="B12">
        <f>D4+D5-2</f>
        <v>168</v>
      </c>
    </row>
    <row r="13" spans="1:4" x14ac:dyDescent="0.25">
      <c r="A13" s="3" t="s">
        <v>12</v>
      </c>
      <c r="B13">
        <f>_xlfn.T.INV.2T(0.05,B12)</f>
        <v>1.9741851911433261</v>
      </c>
    </row>
    <row r="14" spans="1:4" x14ac:dyDescent="0.25">
      <c r="A14" s="3" t="s">
        <v>13</v>
      </c>
      <c r="B14" t="str">
        <f>IF(ABS(B11)&gt;B13,"Reject HO (Siginificant Difference)","Fail to Reject HO (Not Significant)")</f>
        <v>Reject HO (Siginificant Difference)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topLeftCell="A10" workbookViewId="0">
      <selection activeCell="B23" sqref="B23"/>
    </sheetView>
  </sheetViews>
  <sheetFormatPr defaultRowHeight="15" x14ac:dyDescent="0.25"/>
  <cols>
    <col min="1" max="5" width="20" customWidth="1"/>
  </cols>
  <sheetData>
    <row r="1" spans="1:4" ht="18.75" x14ac:dyDescent="0.3">
      <c r="A1" s="5" t="s">
        <v>14</v>
      </c>
      <c r="B1" s="6"/>
      <c r="C1" s="6"/>
      <c r="D1" s="6"/>
    </row>
    <row r="3" spans="1:4" x14ac:dyDescent="0.25">
      <c r="B3" s="1" t="s">
        <v>15</v>
      </c>
      <c r="C3" s="1" t="s">
        <v>16</v>
      </c>
      <c r="D3" s="1" t="s">
        <v>17</v>
      </c>
    </row>
    <row r="4" spans="1:4" x14ac:dyDescent="0.25">
      <c r="A4" s="2" t="s">
        <v>18</v>
      </c>
      <c r="B4" s="2">
        <v>220</v>
      </c>
      <c r="C4" s="2">
        <v>230</v>
      </c>
      <c r="D4" s="2">
        <f>SUM(B4:C4)</f>
        <v>450</v>
      </c>
    </row>
    <row r="5" spans="1:4" x14ac:dyDescent="0.25">
      <c r="A5" s="2" t="s">
        <v>19</v>
      </c>
      <c r="B5" s="2">
        <v>350</v>
      </c>
      <c r="C5" s="2">
        <v>640</v>
      </c>
      <c r="D5" s="2">
        <f>SUM(B5:C5)</f>
        <v>990</v>
      </c>
    </row>
    <row r="6" spans="1:4" x14ac:dyDescent="0.25">
      <c r="A6" s="4" t="s">
        <v>20</v>
      </c>
      <c r="B6" s="4">
        <f>SUM(B4:B5)</f>
        <v>570</v>
      </c>
      <c r="C6" s="4">
        <f>SUM(C4:C5)</f>
        <v>870</v>
      </c>
      <c r="D6" s="4">
        <f>SUM(D4:D5)</f>
        <v>1440</v>
      </c>
    </row>
    <row r="9" spans="1:4" x14ac:dyDescent="0.25">
      <c r="A9" s="3" t="s">
        <v>21</v>
      </c>
    </row>
    <row r="10" spans="1:4" x14ac:dyDescent="0.25">
      <c r="B10" s="1" t="s">
        <v>15</v>
      </c>
      <c r="C10" s="1" t="s">
        <v>16</v>
      </c>
    </row>
    <row r="11" spans="1:4" x14ac:dyDescent="0.25">
      <c r="A11" s="2" t="s">
        <v>18</v>
      </c>
      <c r="B11" s="2">
        <f>D4*B6/$D$6</f>
        <v>178.125</v>
      </c>
      <c r="C11" s="2">
        <f>D4*C6/$D$6</f>
        <v>271.875</v>
      </c>
    </row>
    <row r="12" spans="1:4" x14ac:dyDescent="0.25">
      <c r="A12" s="2" t="s">
        <v>19</v>
      </c>
      <c r="B12" s="2">
        <f>D5*B6/$D$6</f>
        <v>391.875</v>
      </c>
      <c r="C12" s="2">
        <f>D5*C6/$D$6</f>
        <v>598.125</v>
      </c>
    </row>
    <row r="15" spans="1:4" x14ac:dyDescent="0.25">
      <c r="A15" s="3" t="s">
        <v>22</v>
      </c>
    </row>
    <row r="16" spans="1:4" x14ac:dyDescent="0.25">
      <c r="B16" s="1" t="s">
        <v>15</v>
      </c>
      <c r="C16" s="1" t="s">
        <v>16</v>
      </c>
    </row>
    <row r="17" spans="1:3" x14ac:dyDescent="0.25">
      <c r="A17" s="2" t="s">
        <v>18</v>
      </c>
      <c r="B17" s="2">
        <f>(B4-B11)^2/B11</f>
        <v>9.8442982456140342</v>
      </c>
      <c r="C17" s="2">
        <f>(C4-C11)^2/C11</f>
        <v>6.4497126436781613</v>
      </c>
    </row>
    <row r="18" spans="1:3" x14ac:dyDescent="0.25">
      <c r="A18" s="2" t="s">
        <v>19</v>
      </c>
      <c r="B18" s="2">
        <f>(B5-B12)^2/B12</f>
        <v>4.4746810207336525</v>
      </c>
      <c r="C18" s="2">
        <f>(C5-C12)^2/C12</f>
        <v>2.931687565308255</v>
      </c>
    </row>
    <row r="20" spans="1:3" x14ac:dyDescent="0.25">
      <c r="A20" t="s">
        <v>23</v>
      </c>
      <c r="B20">
        <f>SUM(B17:C18)</f>
        <v>23.700379475334103</v>
      </c>
    </row>
    <row r="21" spans="1:3" x14ac:dyDescent="0.25">
      <c r="A21" t="s">
        <v>11</v>
      </c>
      <c r="B21">
        <v>1</v>
      </c>
    </row>
    <row r="22" spans="1:3" x14ac:dyDescent="0.25">
      <c r="A22" t="s">
        <v>24</v>
      </c>
      <c r="B22">
        <f>_xlfn.CHISQ.INV.RT(0.05,B21)</f>
        <v>3.8414588206941236</v>
      </c>
    </row>
    <row r="23" spans="1:3" x14ac:dyDescent="0.25">
      <c r="A23" t="s">
        <v>13</v>
      </c>
      <c r="B23" t="str">
        <f>IF(B20&gt;B22,"Reject H0 (Association Exists)","Fail to Reject H0 (No Association)")</f>
        <v>Reject H0 (Association Exists)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Q1_t_test</vt:lpstr>
      <vt:lpstr>Q2_chi_square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2025-11-21T10:32:36Z</dcterms:created>
  <dcterms:modified xsi:type="dcterms:W3CDTF">2025-11-21T11:02:26Z</dcterms:modified>
</cp:coreProperties>
</file>